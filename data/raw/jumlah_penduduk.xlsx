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mlah Pendudu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<sst xmlns="http://schemas.openxmlformats.org/spreadsheetml/2006/main" count="72" uniqueCount="72">
  <si>
    <t xml:space="preserve">1.  Jumlah Penduduk Per Kelurahan berdasarkan Jenis Kelamin</t>
  </si>
  <si>
    <t xml:space="preserve">KECAMATAN</t>
  </si>
  <si>
    <t xml:space="preserve">KODE
KELURAHAN</t>
  </si>
  <si>
    <t xml:space="preserve">KELURAHAN</t>
  </si>
  <si>
    <t xml:space="preserve">LAKI-
LAKI</t>
  </si>
  <si>
    <t xml:space="preserve">PEREMPUAN</t>
  </si>
  <si>
    <t xml:space="preserve">JUMLAH
PENDUDUK</t>
  </si>
  <si>
    <t xml:space="preserve">%</t>
  </si>
  <si>
    <t xml:space="preserve">HANJARMASIN SELATAN</t>
  </si>
  <si>
    <t xml:space="preserve">MANTUL</t>
  </si>
  <si>
    <t xml:space="preserve">KELAYAN SELATAN</t>
  </si>
  <si>
    <t xml:space="preserve">PEKAUMAN</t>
  </si>
  <si>
    <t xml:space="preserve">KELAYAN HARAT</t>
  </si>
  <si>
    <t xml:space="preserve">KELAYAN TENGAH</t>
  </si>
  <si>
    <t xml:space="preserve">KELAYAN DALAM</t>
  </si>
  <si>
    <t xml:space="preserve">MURUNG RAYA</t>
  </si>
  <si>
    <t xml:space="preserve">KELAYAN TIMUR</t>
  </si>
  <si>
    <t xml:space="preserve">TANJUNG PAGAR</t>
  </si>
  <si>
    <t xml:space="preserve">PEMURUS DALAM</t>
  </si>
  <si>
    <t xml:space="preserve">PEMURUS HARU</t>
  </si>
  <si>
    <t xml:space="preserve">HASIRIL SELATAN</t>
  </si>
  <si>
    <t xml:space="preserve">BANJARMASIN SELATAN Total</t>
  </si>
  <si>
    <t xml:space="preserve">HANJARMASIN TIMUR</t>
  </si>
  <si>
    <t xml:space="preserve">KURIPAN</t>
  </si>
  <si>
    <t xml:space="preserve">KEBUN BUNGA</t>
  </si>
  <si>
    <t xml:space="preserve">KARANG MEKAR</t>
  </si>
  <si>
    <t xml:space="preserve">SUNGAI HILU</t>
  </si>
  <si>
    <t xml:space="preserve">SUNGAI LULUT</t>
  </si>
  <si>
    <t xml:space="preserve">HANTUA ANYAR</t>
  </si>
  <si>
    <t xml:space="preserve">PENGAMBHANGAN</t>
  </si>
  <si>
    <t xml:space="preserve">PEKAPURAN RAYA</t>
  </si>
  <si>
    <t xml:space="preserve">PEMURUS LUAR</t>
  </si>
  <si>
    <t xml:space="preserve">BANJARMASIN TIMUR Total</t>
  </si>
  <si>
    <t xml:space="preserve">HANJARMASIN BARAT</t>
  </si>
  <si>
    <t xml:space="preserve">HELITUNG UTARA</t>
  </si>
  <si>
    <t xml:space="preserve">HELITUNG SELATAN</t>
  </si>
  <si>
    <t xml:space="preserve">PELAMBUHAN</t>
  </si>
  <si>
    <t xml:space="preserve">TALAGA HIRU</t>
  </si>
  <si>
    <t xml:space="preserve">TELAWANG</t>
  </si>
  <si>
    <t xml:space="preserve">TELUK TIRAM</t>
  </si>
  <si>
    <t xml:space="preserve">KUIN SELATAN</t>
  </si>
  <si>
    <t xml:space="preserve">KUIN CERUCUK</t>
  </si>
  <si>
    <t xml:space="preserve">BASIRIH</t>
  </si>
  <si>
    <t xml:space="preserve">BANJARMASIN BARAT Total</t>
  </si>
  <si>
    <t xml:space="preserve">HANJARMASIN UTARA</t>
  </si>
  <si>
    <t xml:space="preserve">ALALAK TENGAH</t>
  </si>
  <si>
    <t xml:space="preserve">ALALAK UTARA</t>
  </si>
  <si>
    <t xml:space="preserve">ALALAK SELATAN</t>
  </si>
  <si>
    <t xml:space="preserve">SUNGAI JINGAH</t>
  </si>
  <si>
    <t xml:space="preserve">SUNGAI MIAI</t>
  </si>
  <si>
    <t xml:space="preserve">SURGI MUFTI</t>
  </si>
  <si>
    <t xml:space="preserve">PANGERAN</t>
  </si>
  <si>
    <t xml:space="preserve">ANTASAN KECIL TIMUR</t>
  </si>
  <si>
    <t xml:space="preserve">KUIN UTARA</t>
  </si>
  <si>
    <t xml:space="preserve">SUNGAI ANDAI</t>
  </si>
  <si>
    <t xml:space="preserve">BANJARMASIN UTARA Total</t>
  </si>
  <si>
    <t xml:space="preserve">HANJARMASIN TENGAH</t>
  </si>
  <si>
    <t xml:space="preserve">KEPTIAK HARU ILIR</t>
  </si>
  <si>
    <t xml:space="preserve">KEPTIAK HARU ULU</t>
  </si>
  <si>
    <t xml:space="preserve">MAWAR</t>
  </si>
  <si>
    <t xml:space="preserve">TELUK DALAM</t>
  </si>
  <si>
    <t xml:space="preserve">ANTASAN HESAR</t>
  </si>
  <si>
    <t xml:space="preserve">PASAR LAMA</t>
  </si>
  <si>
    <t xml:space="preserve">SEBERANG MESJID</t>
  </si>
  <si>
    <t xml:space="preserve">GADANG</t>
  </si>
  <si>
    <t xml:space="preserve">MELAYU</t>
  </si>
  <si>
    <t xml:space="preserve">SEUNGAI HARU</t>
  </si>
  <si>
    <t xml:space="preserve">PEKAPURAN LAUT</t>
  </si>
  <si>
    <t xml:space="preserve">KELAYAN LUAR</t>
  </si>
  <si>
    <t xml:space="preserve">BANJARMASIN TENGAH Total</t>
  </si>
  <si>
    <t xml:space="preserve">JUMLAH</t>
  </si>
  <si>
    <t xml:space="preserve">100,00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</si>
</sst>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CCFFFF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5" min="4" style="1" width="10"/>
    <col collapsed="false" customWidth="true" hidden="false" outlineLevel="0" max="6" min="6" style="1" width="12"/>
    <col collapsed="false" customWidth="true" hidden="false" outlineLevel="0" max="7" min="7" style="1" width="7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0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5" hidden="false" customHeight="true" outlineLevel="0" collapsed="false">
      <c r="A3" s="4" t="s">
        <v>8</v>
      </c>
      <c r="B3" s="5" t="n">
        <v>1001</v>
      </c>
      <c r="C3" s="4" t="s">
        <v>9</v>
      </c>
      <c r="D3" s="6" t="n">
        <v>8182</v>
      </c>
      <c r="E3" s="6" t="n">
        <v>7781</v>
      </c>
      <c r="F3" s="6" t="n">
        <f aca="false">D3+E3</f>
        <v>15963</v>
      </c>
      <c r="G3" s="7" t="n">
        <f aca="false">ROUND(F3/F60*100,2)</f>
        <v>16.32</v>
      </c>
    </row>
    <row r="4" customFormat="false" ht="15" hidden="false" customHeight="true" outlineLevel="0" collapsed="false">
      <c r="A4" s="8"/>
      <c r="B4" s="9" t="n">
        <v>1002</v>
      </c>
      <c r="C4" s="8" t="s">
        <v>10</v>
      </c>
      <c r="D4" s="10" t="n">
        <v>7076</v>
      </c>
      <c r="E4" s="10" t="n">
        <v>6907</v>
      </c>
      <c r="F4" s="10" t="n">
        <f aca="false">D4+E4</f>
        <v>13983</v>
      </c>
      <c r="G4" s="11" t="n">
        <f aca="false">ROUND(F4/F60*100,2)</f>
        <v>14.29</v>
      </c>
    </row>
    <row r="5" customFormat="false" ht="15" hidden="false" customHeight="true" outlineLevel="0" collapsed="false">
      <c r="A5" s="4"/>
      <c r="B5" s="5" t="n">
        <v>1003</v>
      </c>
      <c r="C5" s="4" t="s">
        <v>11</v>
      </c>
      <c r="D5" s="6" t="n">
        <v>4609</v>
      </c>
      <c r="E5" s="6" t="n">
        <v>4625</v>
      </c>
      <c r="F5" s="6" t="n">
        <f aca="false">D5+E5</f>
        <v>9234</v>
      </c>
      <c r="G5" s="7" t="n">
        <f aca="false">ROUND(F5/F60*100,2)</f>
        <v>9.44</v>
      </c>
    </row>
    <row r="6" customFormat="false" ht="15" hidden="false" customHeight="true" outlineLevel="0" collapsed="false">
      <c r="A6" s="8"/>
      <c r="B6" s="9" t="n">
        <v>1004</v>
      </c>
      <c r="C6" s="8" t="s">
        <v>12</v>
      </c>
      <c r="D6" s="10" t="n">
        <v>3159</v>
      </c>
      <c r="E6" s="10" t="n">
        <v>3094</v>
      </c>
      <c r="F6" s="10" t="n">
        <f aca="false">D6+E6</f>
        <v>6253</v>
      </c>
      <c r="G6" s="11" t="n">
        <f aca="false">ROUND(F6/F60*100,2)</f>
        <v>6.39</v>
      </c>
    </row>
    <row r="7" customFormat="false" ht="15" hidden="false" customHeight="true" outlineLevel="0" collapsed="false">
      <c r="A7" s="4"/>
      <c r="B7" s="5" t="n">
        <v>1005</v>
      </c>
      <c r="C7" s="4" t="s">
        <v>13</v>
      </c>
      <c r="D7" s="6" t="n">
        <v>4071</v>
      </c>
      <c r="E7" s="6" t="n">
        <v>3810</v>
      </c>
      <c r="F7" s="6" t="n">
        <f aca="false">D7+E7</f>
        <v>7881</v>
      </c>
      <c r="G7" s="7" t="n">
        <f aca="false">ROUND(F7/F60*100,2)</f>
        <v>8.06</v>
      </c>
    </row>
    <row r="8" customFormat="false" ht="15" hidden="false" customHeight="true" outlineLevel="0" collapsed="false">
      <c r="A8" s="8"/>
      <c r="B8" s="9" t="n">
        <v>1006</v>
      </c>
      <c r="C8" s="8" t="s">
        <v>14</v>
      </c>
      <c r="D8" s="10" t="n">
        <v>5481</v>
      </c>
      <c r="E8" s="10" t="n">
        <v>6213</v>
      </c>
      <c r="F8" s="10" t="n">
        <f aca="false">D8+E8</f>
        <v>11694</v>
      </c>
      <c r="G8" s="11" t="n">
        <f aca="false">ROUND(F8/F60*100,2)</f>
        <v>11.95</v>
      </c>
    </row>
    <row r="9" customFormat="false" ht="15" hidden="false" customHeight="true" outlineLevel="0" collapsed="false">
      <c r="A9" s="4"/>
      <c r="B9" s="5" t="n">
        <v>1007</v>
      </c>
      <c r="C9" s="4" t="s">
        <v>15</v>
      </c>
      <c r="D9" s="6" t="n">
        <v>7198</v>
      </c>
      <c r="E9" s="6" t="n">
        <v>6884</v>
      </c>
      <c r="F9" s="6" t="n">
        <f aca="false">D9+E9</f>
        <v>14082</v>
      </c>
      <c r="G9" s="7" t="n">
        <f aca="false">ROUND(F9/F60*100,2)</f>
        <v>14.39</v>
      </c>
    </row>
    <row r="10" customFormat="false" ht="15" hidden="false" customHeight="true" outlineLevel="0" collapsed="false">
      <c r="A10" s="8"/>
      <c r="B10" s="9" t="n">
        <v>1008</v>
      </c>
      <c r="C10" s="8" t="s">
        <v>16</v>
      </c>
      <c r="D10" s="10" t="n">
        <v>11081</v>
      </c>
      <c r="E10" s="10" t="n">
        <v>10619</v>
      </c>
      <c r="F10" s="10" t="n">
        <f aca="false">D10+E10</f>
        <v>21700</v>
      </c>
      <c r="G10" s="11" t="n">
        <f aca="false">ROUND(F10/F60*100,2)</f>
        <v>22.18</v>
      </c>
    </row>
    <row r="11" customFormat="false" ht="15" hidden="false" customHeight="true" outlineLevel="0" collapsed="false">
      <c r="A11" s="4"/>
      <c r="B11" s="5" t="n">
        <v>1009</v>
      </c>
      <c r="C11" s="4" t="s">
        <v>17</v>
      </c>
      <c r="D11" s="6" t="n">
        <v>6374</v>
      </c>
      <c r="E11" s="6" t="n">
        <v>6146</v>
      </c>
      <c r="F11" s="6" t="n">
        <f aca="false">D11+E11</f>
        <v>12520</v>
      </c>
      <c r="G11" s="7" t="n">
        <f aca="false">ROUND(F11/F60*100,2)</f>
        <v>12.8</v>
      </c>
    </row>
    <row r="12" customFormat="false" ht="15" hidden="false" customHeight="true" outlineLevel="0" collapsed="false">
      <c r="A12" s="8"/>
      <c r="B12" s="9" t="n">
        <v>1010</v>
      </c>
      <c r="C12" s="8" t="s">
        <v>18</v>
      </c>
      <c r="D12" s="10" t="n">
        <v>11904</v>
      </c>
      <c r="E12" s="10" t="n">
        <v>11884</v>
      </c>
      <c r="F12" s="10" t="n">
        <f aca="false">D12+E12</f>
        <v>23788</v>
      </c>
      <c r="G12" s="11" t="n">
        <f aca="false">ROUND(F12/F60*100,2)</f>
        <v>24.31</v>
      </c>
    </row>
    <row r="13" customFormat="false" ht="15" hidden="false" customHeight="true" outlineLevel="0" collapsed="false">
      <c r="A13" s="4"/>
      <c r="B13" s="5" t="n">
        <v>1011</v>
      </c>
      <c r="C13" s="4" t="s">
        <v>19</v>
      </c>
      <c r="D13" s="6" t="n">
        <v>8400</v>
      </c>
      <c r="E13" s="6" t="n">
        <v>8482</v>
      </c>
      <c r="F13" s="6" t="n">
        <f aca="false">D13+E13</f>
        <v>16882</v>
      </c>
      <c r="G13" s="7" t="n">
        <f aca="false">ROUND(F13/F60*100,2)</f>
        <v>17.25</v>
      </c>
    </row>
    <row r="14" customFormat="false" ht="15" hidden="false" customHeight="true" outlineLevel="0" collapsed="false">
      <c r="A14" s="8"/>
      <c r="B14" s="9" t="n">
        <v>1012</v>
      </c>
      <c r="C14" s="8" t="s">
        <v>20</v>
      </c>
      <c r="D14" s="10" t="n">
        <v>6819</v>
      </c>
      <c r="E14" s="10" t="n">
        <v>6424</v>
      </c>
      <c r="F14" s="10" t="n">
        <f aca="false">D14+E14</f>
        <v>13243</v>
      </c>
      <c r="G14" s="11" t="n">
        <f aca="false">ROUND(F14/F60*100,2)</f>
        <v>13.54</v>
      </c>
    </row>
    <row r="15" customFormat="false" ht="15" hidden="false" customHeight="true" outlineLevel="0" collapsed="false">
      <c r="A15" s="12" t="s">
        <v>21</v>
      </c>
      <c r="B15" s="13"/>
      <c r="C15" s="13"/>
      <c r="D15" s="14"/>
      <c r="E15" s="14"/>
      <c r="F15" s="14"/>
      <c r="G15" s="15" t="n">
        <f aca="false">ROUND(F15/F60*100,2)</f>
        <v>0</v>
      </c>
    </row>
    <row r="16" customFormat="false" ht="15" hidden="false" customHeight="true" outlineLevel="0" collapsed="false">
      <c r="A16" s="8" t="s">
        <v>22</v>
      </c>
      <c r="B16" s="9" t="n">
        <v>1001</v>
      </c>
      <c r="C16" s="8" t="s">
        <v>23</v>
      </c>
      <c r="D16" s="10" t="n">
        <v>7652</v>
      </c>
      <c r="E16" s="10" t="n">
        <v>7930</v>
      </c>
      <c r="F16" s="10" t="n">
        <f aca="false">D16+E16</f>
        <v>15582</v>
      </c>
      <c r="G16" s="11" t="n">
        <f aca="false">ROUND(F16/F60*100,2)</f>
        <v>15.93</v>
      </c>
    </row>
    <row r="17" customFormat="false" ht="15" hidden="false" customHeight="true" outlineLevel="0" collapsed="false">
      <c r="A17" s="4"/>
      <c r="B17" s="5" t="n">
        <v>1002</v>
      </c>
      <c r="C17" s="4" t="s">
        <v>24</v>
      </c>
      <c r="D17" s="6" t="n">
        <v>6459</v>
      </c>
      <c r="E17" s="6" t="n">
        <v>6697</v>
      </c>
      <c r="F17" s="6" t="n">
        <f aca="false">D17+E17</f>
        <v>13156</v>
      </c>
      <c r="G17" s="7" t="n">
        <f aca="false">ROUND(F17/F60*100,2)</f>
        <v>13.45</v>
      </c>
    </row>
    <row r="18" customFormat="false" ht="15" hidden="false" customHeight="true" outlineLevel="0" collapsed="false">
      <c r="A18" s="8"/>
      <c r="B18" s="9" t="n">
        <v>1003</v>
      </c>
      <c r="C18" s="8" t="s">
        <v>25</v>
      </c>
      <c r="D18" s="10" t="n">
        <v>6744</v>
      </c>
      <c r="E18" s="10" t="n">
        <v>6810</v>
      </c>
      <c r="F18" s="10" t="n">
        <f aca="false">D18+E18</f>
        <v>13554</v>
      </c>
      <c r="G18" s="11" t="n">
        <f aca="false">ROUND(F18/F60*100,2)</f>
        <v>13.85</v>
      </c>
    </row>
    <row r="19" customFormat="false" ht="15" hidden="false" customHeight="true" outlineLevel="0" collapsed="false">
      <c r="A19" s="4"/>
      <c r="B19" s="5" t="n">
        <v>1004</v>
      </c>
      <c r="C19" s="4" t="s">
        <v>26</v>
      </c>
      <c r="D19" s="6" t="n">
        <v>5304</v>
      </c>
      <c r="E19" s="6" t="n">
        <v>5420</v>
      </c>
      <c r="F19" s="6" t="n">
        <f aca="false">D19+E19</f>
        <v>10724</v>
      </c>
      <c r="G19" s="7" t="n">
        <f aca="false">ROUND(F19/F60*100,2)</f>
        <v>10.96</v>
      </c>
    </row>
    <row r="20" customFormat="false" ht="15" hidden="false" customHeight="true" outlineLevel="0" collapsed="false">
      <c r="A20" s="8"/>
      <c r="B20" s="9" t="n">
        <v>1005</v>
      </c>
      <c r="C20" s="8" t="s">
        <v>27</v>
      </c>
      <c r="D20" s="10" t="n">
        <v>9648</v>
      </c>
      <c r="E20" s="10" t="n">
        <v>9995</v>
      </c>
      <c r="F20" s="10" t="n">
        <f aca="false">D20+E20</f>
        <v>19643</v>
      </c>
      <c r="G20" s="11" t="n">
        <f aca="false">ROUND(F20/F60*100,2)</f>
        <v>20.08</v>
      </c>
    </row>
    <row r="21" customFormat="false" ht="15" hidden="false" customHeight="true" outlineLevel="0" collapsed="false">
      <c r="A21" s="4"/>
      <c r="B21" s="5" t="n">
        <v>1006</v>
      </c>
      <c r="C21" s="4" t="s">
        <v>28</v>
      </c>
      <c r="D21" s="6" t="n">
        <v>4929</v>
      </c>
      <c r="E21" s="6" t="n">
        <v>4664</v>
      </c>
      <c r="F21" s="6" t="n">
        <f aca="false">D21+E21</f>
        <v>9593</v>
      </c>
      <c r="G21" s="7" t="n">
        <f aca="false">ROUND(F21/F60*100,2)</f>
        <v>9.8</v>
      </c>
    </row>
    <row r="22" customFormat="false" ht="15" hidden="false" customHeight="true" outlineLevel="0" collapsed="false">
      <c r="A22" s="8"/>
      <c r="B22" s="9" t="n">
        <v>1007</v>
      </c>
      <c r="C22" s="8" t="s">
        <v>29</v>
      </c>
      <c r="D22" s="10" t="n">
        <v>6313</v>
      </c>
      <c r="E22" s="10" t="n">
        <v>6489</v>
      </c>
      <c r="F22" s="10" t="n">
        <f aca="false">D22+E22</f>
        <v>12802</v>
      </c>
      <c r="G22" s="11" t="n">
        <f aca="false">ROUND(F22/F60*100,2)</f>
        <v>13.08</v>
      </c>
    </row>
    <row r="23" customFormat="false" ht="15" hidden="false" customHeight="true" outlineLevel="0" collapsed="false">
      <c r="A23" s="4"/>
      <c r="B23" s="5" t="n">
        <v>1008</v>
      </c>
      <c r="C23" s="4" t="s">
        <v>30</v>
      </c>
      <c r="D23" s="6" t="n">
        <v>6761</v>
      </c>
      <c r="E23" s="6" t="n">
        <v>6777</v>
      </c>
      <c r="F23" s="6" t="n">
        <f aca="false">D23+E23</f>
        <v>13538</v>
      </c>
      <c r="G23" s="7" t="n">
        <f aca="false">ROUND(F23/F60*100,2)</f>
        <v>13.84</v>
      </c>
    </row>
    <row r="24" customFormat="false" ht="15" hidden="false" customHeight="true" outlineLevel="0" collapsed="false">
      <c r="A24" s="8"/>
      <c r="B24" s="9" t="n">
        <v>1009</v>
      </c>
      <c r="C24" s="8" t="s">
        <v>31</v>
      </c>
      <c r="D24" s="10" t="n">
        <v>6500</v>
      </c>
      <c r="E24" s="10" t="n">
        <v>6776</v>
      </c>
      <c r="F24" s="10" t="n">
        <f aca="false">D24+E24</f>
        <v>13276</v>
      </c>
      <c r="G24" s="11" t="n">
        <f aca="false">ROUND(F24/F60*100,2)</f>
        <v>13.57</v>
      </c>
    </row>
    <row r="25" customFormat="false" ht="15" hidden="false" customHeight="true" outlineLevel="0" collapsed="false">
      <c r="A25" s="12" t="s">
        <v>32</v>
      </c>
      <c r="B25" s="13"/>
      <c r="C25" s="13"/>
      <c r="D25" s="14"/>
      <c r="E25" s="14"/>
      <c r="F25" s="14"/>
      <c r="G25" s="15" t="n">
        <f aca="false">ROUND(F25/F60*100,2)</f>
        <v>0</v>
      </c>
    </row>
    <row r="26" customFormat="false" ht="15" hidden="false" customHeight="true" outlineLevel="0" collapsed="false">
      <c r="A26" s="8" t="s">
        <v>33</v>
      </c>
      <c r="B26" s="9" t="n">
        <v>1001</v>
      </c>
      <c r="C26" s="8" t="s">
        <v>34</v>
      </c>
      <c r="D26" s="10" t="n">
        <v>3781</v>
      </c>
      <c r="E26" s="10" t="n">
        <v>3704</v>
      </c>
      <c r="F26" s="10" t="n">
        <f aca="false">D26+E26</f>
        <v>7485</v>
      </c>
      <c r="G26" s="11" t="n">
        <f aca="false">ROUND(F26/F60*100,2)</f>
        <v>7.65</v>
      </c>
    </row>
    <row r="27" customFormat="false" ht="15" hidden="false" customHeight="true" outlineLevel="0" collapsed="false">
      <c r="A27" s="4"/>
      <c r="B27" s="5" t="n">
        <v>1002</v>
      </c>
      <c r="C27" s="4" t="s">
        <v>35</v>
      </c>
      <c r="D27" s="6" t="n">
        <v>7278</v>
      </c>
      <c r="E27" s="6" t="n">
        <v>7501</v>
      </c>
      <c r="F27" s="6" t="n">
        <f aca="false">D27+E27</f>
        <v>14779</v>
      </c>
      <c r="G27" s="7" t="n">
        <f aca="false">ROUND(F27/F60*100,2)</f>
        <v>15.11</v>
      </c>
    </row>
    <row r="28" customFormat="false" ht="15" hidden="false" customHeight="true" outlineLevel="0" collapsed="false">
      <c r="A28" s="8"/>
      <c r="B28" s="9" t="n">
        <v>1003</v>
      </c>
      <c r="C28" s="8" t="s">
        <v>36</v>
      </c>
      <c r="D28" s="10" t="n">
        <v>12854</v>
      </c>
      <c r="E28" s="10" t="n">
        <v>12650</v>
      </c>
      <c r="F28" s="10" t="n">
        <f aca="false">D28+E28</f>
        <v>25504</v>
      </c>
      <c r="G28" s="11" t="n">
        <f aca="false">ROUND(F28/F60*100,2)</f>
        <v>26.07</v>
      </c>
    </row>
    <row r="29" customFormat="false" ht="15" hidden="false" customHeight="true" outlineLevel="0" collapsed="false">
      <c r="A29" s="4"/>
      <c r="B29" s="5" t="n">
        <v>1004</v>
      </c>
      <c r="C29" s="4" t="s">
        <v>37</v>
      </c>
      <c r="D29" s="6" t="n">
        <v>7624</v>
      </c>
      <c r="E29" s="6" t="n">
        <v>8072</v>
      </c>
      <c r="F29" s="6" t="n">
        <f aca="false">D29+E29</f>
        <v>15696</v>
      </c>
      <c r="G29" s="7" t="n">
        <f aca="false">ROUND(F29/F60*100,2)</f>
        <v>16.04</v>
      </c>
    </row>
    <row r="30" customFormat="false" ht="15" hidden="false" customHeight="true" outlineLevel="0" collapsed="false">
      <c r="A30" s="8"/>
      <c r="B30" s="9" t="n">
        <v>1005</v>
      </c>
      <c r="C30" s="8" t="s">
        <v>38</v>
      </c>
      <c r="D30" s="10" t="n">
        <v>5467</v>
      </c>
      <c r="E30" s="10" t="n">
        <v>5328</v>
      </c>
      <c r="F30" s="10" t="n">
        <f aca="false">D30+E30</f>
        <v>10795</v>
      </c>
      <c r="G30" s="11" t="n">
        <f aca="false">ROUND(F30/F60*100,2)</f>
        <v>11.03</v>
      </c>
    </row>
    <row r="31" customFormat="false" ht="15" hidden="false" customHeight="true" outlineLevel="0" collapsed="false">
      <c r="A31" s="4"/>
      <c r="B31" s="5" t="n">
        <v>1006</v>
      </c>
      <c r="C31" s="4" t="s">
        <v>39</v>
      </c>
      <c r="D31" s="6" t="n">
        <v>5989</v>
      </c>
      <c r="E31" s="6" t="n">
        <v>5813</v>
      </c>
      <c r="F31" s="6" t="n">
        <f aca="false">D31+E31</f>
        <v>11802</v>
      </c>
      <c r="G31" s="7" t="n">
        <f aca="false">ROUND(F31/F60*100,2)</f>
        <v>12.06</v>
      </c>
    </row>
    <row r="32" customFormat="false" ht="15" hidden="false" customHeight="true" outlineLevel="0" collapsed="false">
      <c r="A32" s="8"/>
      <c r="B32" s="9" t="n">
        <v>1007</v>
      </c>
      <c r="C32" s="8" t="s">
        <v>40</v>
      </c>
      <c r="D32" s="10" t="n">
        <v>5757</v>
      </c>
      <c r="E32" s="10" t="n">
        <v>5824</v>
      </c>
      <c r="F32" s="10" t="n">
        <f aca="false">D32+E32</f>
        <v>11581</v>
      </c>
      <c r="G32" s="11" t="n">
        <f aca="false">ROUND(F32/F60*100,2)</f>
        <v>11.84</v>
      </c>
    </row>
    <row r="33" customFormat="false" ht="15" hidden="false" customHeight="true" outlineLevel="0" collapsed="false">
      <c r="A33" s="4"/>
      <c r="B33" s="5" t="n">
        <v>1008</v>
      </c>
      <c r="C33" s="4" t="s">
        <v>41</v>
      </c>
      <c r="D33" s="6" t="n">
        <v>8822</v>
      </c>
      <c r="E33" s="6" t="n">
        <v>8717</v>
      </c>
      <c r="F33" s="6" t="n">
        <f aca="false">D33+E33</f>
        <v>17539</v>
      </c>
      <c r="G33" s="7" t="n">
        <f aca="false">ROUND(F33/F60*100,2)</f>
        <v>17.93</v>
      </c>
    </row>
    <row r="34" customFormat="false" ht="15" hidden="false" customHeight="true" outlineLevel="0" collapsed="false">
      <c r="A34" s="8"/>
      <c r="B34" s="9" t="n">
        <v>1009</v>
      </c>
      <c r="C34" s="8" t="s">
        <v>42</v>
      </c>
      <c r="D34" s="10" t="n">
        <v>11102</v>
      </c>
      <c r="E34" s="10" t="n">
        <v>11662</v>
      </c>
      <c r="F34" s="10" t="n">
        <f aca="false">D34+E34</f>
        <v>22764</v>
      </c>
      <c r="G34" s="11" t="n">
        <f aca="false">ROUND(F34/F60*100,2)</f>
        <v>23.27</v>
      </c>
    </row>
    <row r="35" customFormat="false" ht="15" hidden="false" customHeight="true" outlineLevel="0" collapsed="false">
      <c r="A35" s="12" t="s">
        <v>43</v>
      </c>
      <c r="B35" s="13"/>
      <c r="C35" s="13"/>
      <c r="D35" s="14"/>
      <c r="E35" s="14"/>
      <c r="F35" s="14"/>
      <c r="G35" s="15" t="n">
        <f aca="false">ROUND(F35/F60*100,2)</f>
        <v>0</v>
      </c>
    </row>
    <row r="36" customFormat="false" ht="15" hidden="false" customHeight="true" outlineLevel="0" collapsed="false">
      <c r="A36" s="8" t="s">
        <v>44</v>
      </c>
      <c r="B36" s="9" t="n">
        <v>1001</v>
      </c>
      <c r="C36" s="8" t="s">
        <v>45</v>
      </c>
      <c r="D36" s="10" t="n">
        <v>5078</v>
      </c>
      <c r="E36" s="10" t="n">
        <v>4964</v>
      </c>
      <c r="F36" s="10" t="n">
        <f aca="false">D36+E36</f>
        <v>10042</v>
      </c>
      <c r="G36" s="11" t="n">
        <f aca="false">ROUND(F36/F60*100,2)</f>
        <v>10.26</v>
      </c>
    </row>
    <row r="37" customFormat="false" ht="15" hidden="false" customHeight="true" outlineLevel="0" collapsed="false">
      <c r="A37" s="4"/>
      <c r="B37" s="5" t="n">
        <v>1002</v>
      </c>
      <c r="C37" s="4" t="s">
        <v>46</v>
      </c>
      <c r="D37" s="6" t="n">
        <v>11015</v>
      </c>
      <c r="E37" s="6" t="n">
        <v>11264</v>
      </c>
      <c r="F37" s="6" t="n">
        <f aca="false">D37+E37</f>
        <v>22279</v>
      </c>
      <c r="G37" s="7" t="n">
        <f aca="false">ROUND(F37/F60*100,2)</f>
        <v>22.77</v>
      </c>
    </row>
    <row r="38" customFormat="false" ht="15" hidden="false" customHeight="true" outlineLevel="0" collapsed="false">
      <c r="A38" s="8"/>
      <c r="B38" s="9" t="n">
        <v>1003</v>
      </c>
      <c r="C38" s="8" t="s">
        <v>47</v>
      </c>
      <c r="D38" s="10" t="n">
        <v>7142</v>
      </c>
      <c r="E38" s="10" t="n">
        <v>6894</v>
      </c>
      <c r="F38" s="10" t="n">
        <f aca="false">D38+E38</f>
        <v>14036</v>
      </c>
      <c r="G38" s="11" t="n">
        <f aca="false">ROUND(F38/F60*100,2)</f>
        <v>14.35</v>
      </c>
    </row>
    <row r="39" customFormat="false" ht="15" hidden="false" customHeight="true" outlineLevel="0" collapsed="false">
      <c r="A39" s="4"/>
      <c r="B39" s="5" t="n">
        <v>1004</v>
      </c>
      <c r="C39" s="4" t="s">
        <v>48</v>
      </c>
      <c r="D39" s="6" t="n">
        <v>6351</v>
      </c>
      <c r="E39" s="6" t="n">
        <v>6516</v>
      </c>
      <c r="F39" s="6" t="n">
        <f aca="false">D39+E39</f>
        <v>12867</v>
      </c>
      <c r="G39" s="7" t="n">
        <f aca="false">ROUND(F39/F60*100,2)</f>
        <v>13.15</v>
      </c>
    </row>
    <row r="40" customFormat="false" ht="15" hidden="false" customHeight="true" outlineLevel="0" collapsed="false">
      <c r="A40" s="8"/>
      <c r="B40" s="9" t="n">
        <v>1005</v>
      </c>
      <c r="C40" s="8" t="s">
        <v>49</v>
      </c>
      <c r="D40" s="10" t="n">
        <v>7236</v>
      </c>
      <c r="E40" s="10" t="n">
        <v>7584</v>
      </c>
      <c r="F40" s="10" t="n">
        <f aca="false">D40+E40</f>
        <v>14820</v>
      </c>
      <c r="G40" s="11" t="n">
        <f aca="false">ROUND(F40/F60*100,2)</f>
        <v>15.15</v>
      </c>
    </row>
    <row r="41" customFormat="false" ht="15" hidden="false" customHeight="true" outlineLevel="0" collapsed="false">
      <c r="A41" s="4"/>
      <c r="B41" s="5" t="n">
        <v>1006</v>
      </c>
      <c r="C41" s="4" t="s">
        <v>50</v>
      </c>
      <c r="D41" s="6" t="n">
        <v>8326</v>
      </c>
      <c r="E41" s="6" t="n">
        <v>8675</v>
      </c>
      <c r="F41" s="6" t="n">
        <f aca="false">D41+E41</f>
        <v>17001</v>
      </c>
      <c r="G41" s="7" t="n">
        <f aca="false">ROUND(F41/F60*100,2)</f>
        <v>17.38</v>
      </c>
    </row>
    <row r="42" customFormat="false" ht="15" hidden="false" customHeight="true" outlineLevel="0" collapsed="false">
      <c r="A42" s="8"/>
      <c r="B42" s="9" t="n">
        <v>1007</v>
      </c>
      <c r="C42" s="8" t="s">
        <v>51</v>
      </c>
      <c r="D42" s="10" t="n">
        <v>4795</v>
      </c>
      <c r="E42" s="10" t="n">
        <v>4986</v>
      </c>
      <c r="F42" s="10" t="n">
        <f aca="false">D42+E42</f>
        <v>9781</v>
      </c>
      <c r="G42" s="11" t="n">
        <f aca="false">ROUND(F42/F60*100,2)</f>
        <v>10</v>
      </c>
    </row>
    <row r="43" customFormat="false" ht="15" hidden="false" customHeight="true" outlineLevel="0" collapsed="false">
      <c r="A43" s="4"/>
      <c r="B43" s="5" t="n">
        <v>1008</v>
      </c>
      <c r="C43" s="4" t="s">
        <v>52</v>
      </c>
      <c r="D43" s="6" t="n">
        <v>5367</v>
      </c>
      <c r="E43" s="6" t="n">
        <v>5278</v>
      </c>
      <c r="F43" s="6" t="n">
        <f aca="false">D43+E43</f>
        <v>10645</v>
      </c>
      <c r="G43" s="7" t="n">
        <f aca="false">ROUND(F43/F60*100,2)</f>
        <v>10.88</v>
      </c>
    </row>
    <row r="44" customFormat="false" ht="15" hidden="false" customHeight="true" outlineLevel="0" collapsed="false">
      <c r="A44" s="8"/>
      <c r="B44" s="9" t="n">
        <v>1009</v>
      </c>
      <c r="C44" s="8" t="s">
        <v>53</v>
      </c>
      <c r="D44" s="10" t="n">
        <v>6205</v>
      </c>
      <c r="E44" s="10" t="n">
        <v>6142</v>
      </c>
      <c r="F44" s="10" t="n">
        <f aca="false">D44+E44</f>
        <v>12347</v>
      </c>
      <c r="G44" s="11" t="n">
        <f aca="false">ROUND(F44/F60*100,2)</f>
        <v>12.62</v>
      </c>
    </row>
    <row r="45" customFormat="false" ht="15" hidden="false" customHeight="true" outlineLevel="0" collapsed="false">
      <c r="A45" s="4"/>
      <c r="B45" s="5" t="n">
        <v>1010</v>
      </c>
      <c r="C45" s="4" t="s">
        <v>54</v>
      </c>
      <c r="D45" s="6" t="n">
        <v>17002</v>
      </c>
      <c r="E45" s="6" t="n">
        <v>16886</v>
      </c>
      <c r="F45" s="6" t="n">
        <f aca="false">D45+E45</f>
        <v>33888</v>
      </c>
      <c r="G45" s="7" t="n">
        <f aca="false">ROUND(F45/F60*100,2)</f>
        <v>34.64</v>
      </c>
    </row>
    <row r="46" customFormat="false" ht="15" hidden="false" customHeight="true" outlineLevel="0" collapsed="false">
      <c r="A46" s="12" t="s">
        <v>55</v>
      </c>
      <c r="B46" s="13"/>
      <c r="C46" s="13"/>
      <c r="D46" s="14"/>
      <c r="E46" s="14"/>
      <c r="F46" s="14"/>
      <c r="G46" s="15" t="n">
        <f aca="false">ROUND(F46/F60*100,2)</f>
        <v>0</v>
      </c>
    </row>
    <row r="47" customFormat="false" ht="15" hidden="false" customHeight="true" outlineLevel="0" collapsed="false">
      <c r="A47" s="4" t="s">
        <v>56</v>
      </c>
      <c r="B47" s="5" t="n">
        <v>1001</v>
      </c>
      <c r="C47" s="4" t="s">
        <v>57</v>
      </c>
      <c r="D47" s="6" t="n">
        <v>1483</v>
      </c>
      <c r="E47" s="6" t="n">
        <v>1436</v>
      </c>
      <c r="F47" s="6" t="n">
        <f aca="false">D47+E47</f>
        <v>2919</v>
      </c>
      <c r="G47" s="7" t="n">
        <f aca="false">ROUND(F47/F60*100,2)</f>
        <v>2.98</v>
      </c>
    </row>
    <row r="48" customFormat="false" ht="15" hidden="false" customHeight="true" outlineLevel="0" collapsed="false">
      <c r="A48" s="8"/>
      <c r="B48" s="9" t="n">
        <v>1002</v>
      </c>
      <c r="C48" s="8" t="s">
        <v>58</v>
      </c>
      <c r="D48" s="10" t="n">
        <v>889</v>
      </c>
      <c r="E48" s="10" t="n">
        <v>894</v>
      </c>
      <c r="F48" s="10" t="n">
        <f aca="false">D48+E48</f>
        <v>1783</v>
      </c>
      <c r="G48" s="11" t="n">
        <f aca="false">ROUND(F48/F60*100,2)</f>
        <v>1.82</v>
      </c>
    </row>
    <row r="49" customFormat="false" ht="15" hidden="false" customHeight="true" outlineLevel="0" collapsed="false">
      <c r="A49" s="4"/>
      <c r="B49" s="5" t="n">
        <v>1003</v>
      </c>
      <c r="C49" s="4" t="s">
        <v>59</v>
      </c>
      <c r="D49" s="6" t="n">
        <v>2676</v>
      </c>
      <c r="E49" s="6" t="n">
        <v>2844</v>
      </c>
      <c r="F49" s="6" t="n">
        <f aca="false">D49+E49</f>
        <v>5520</v>
      </c>
      <c r="G49" s="7" t="n">
        <f aca="false">ROUND(F49/F60*100,2)</f>
        <v>5.64</v>
      </c>
    </row>
    <row r="50" customFormat="false" ht="15" hidden="false" customHeight="true" outlineLevel="0" collapsed="false">
      <c r="A50" s="8"/>
      <c r="B50" s="9" t="n">
        <v>1004</v>
      </c>
      <c r="C50" s="8" t="s">
        <v>60</v>
      </c>
      <c r="D50" s="10" t="n">
        <v>13866</v>
      </c>
      <c r="E50" s="10" t="n">
        <v>16100</v>
      </c>
      <c r="F50" s="10" t="n">
        <f aca="false">D50+E50</f>
        <v>29966</v>
      </c>
      <c r="G50" s="11" t="n">
        <f aca="false">ROUND(F50/F60*100,2)</f>
        <v>30.63</v>
      </c>
    </row>
    <row r="51" customFormat="false" ht="15" hidden="false" customHeight="true" outlineLevel="0" collapsed="false">
      <c r="A51" s="4"/>
      <c r="B51" s="5" t="n">
        <v>1005</v>
      </c>
      <c r="C51" s="4" t="s">
        <v>61</v>
      </c>
      <c r="D51" s="6" t="n">
        <v>3283</v>
      </c>
      <c r="E51" s="6" t="n">
        <v>3421</v>
      </c>
      <c r="F51" s="6" t="n">
        <f aca="false">D51+E51</f>
        <v>6704</v>
      </c>
      <c r="G51" s="7" t="n">
        <f aca="false">ROUND(F51/F60*100,2)</f>
        <v>6.85</v>
      </c>
    </row>
    <row r="52" customFormat="false" ht="15" hidden="false" customHeight="true" outlineLevel="0" collapsed="false">
      <c r="A52" s="8"/>
      <c r="B52" s="9" t="n">
        <v>1006</v>
      </c>
      <c r="C52" s="8" t="s">
        <v>62</v>
      </c>
      <c r="D52" s="10" t="n">
        <v>3360</v>
      </c>
      <c r="E52" s="10" t="n">
        <v>3490</v>
      </c>
      <c r="F52" s="10" t="n">
        <f aca="false">D52+E52</f>
        <v>6850</v>
      </c>
      <c r="G52" s="11" t="n">
        <f aca="false">ROUND(F52/F60*100,2)</f>
        <v>7</v>
      </c>
    </row>
    <row r="53" customFormat="false" ht="15" hidden="false" customHeight="true" outlineLevel="0" collapsed="false">
      <c r="A53" s="4"/>
      <c r="B53" s="5" t="n">
        <v>1007</v>
      </c>
      <c r="C53" s="4" t="s">
        <v>63</v>
      </c>
      <c r="D53" s="6" t="n">
        <v>2957</v>
      </c>
      <c r="E53" s="6" t="n">
        <v>3133</v>
      </c>
      <c r="F53" s="6" t="n">
        <f aca="false">D53+E53</f>
        <v>6090</v>
      </c>
      <c r="G53" s="7" t="n">
        <f aca="false">ROUND(F53/F60*100,2)</f>
        <v>6.22</v>
      </c>
    </row>
    <row r="54" customFormat="false" ht="15" hidden="false" customHeight="true" outlineLevel="0" collapsed="false">
      <c r="A54" s="8"/>
      <c r="B54" s="9" t="n">
        <v>1008</v>
      </c>
      <c r="C54" s="8" t="s">
        <v>64</v>
      </c>
      <c r="D54" s="10" t="n">
        <v>5507</v>
      </c>
      <c r="E54" s="10" t="n">
        <v>5400</v>
      </c>
      <c r="F54" s="10" t="n">
        <f aca="false">D54+E54</f>
        <v>10907</v>
      </c>
      <c r="G54" s="11" t="n">
        <f aca="false">ROUND(F54/F60*100,2)</f>
        <v>11.15</v>
      </c>
    </row>
    <row r="55" customFormat="false" ht="15" hidden="false" customHeight="true" outlineLevel="0" collapsed="false">
      <c r="A55" s="4"/>
      <c r="B55" s="5" t="n">
        <v>1009</v>
      </c>
      <c r="C55" s="4" t="s">
        <v>65</v>
      </c>
      <c r="D55" s="6" t="n">
        <v>4490</v>
      </c>
      <c r="E55" s="6" t="n">
        <v>4418</v>
      </c>
      <c r="F55" s="6" t="n">
        <f aca="false">D55+E55</f>
        <v>8908</v>
      </c>
      <c r="G55" s="7" t="n">
        <f aca="false">ROUND(F55/F60*100,2)</f>
        <v>9.1</v>
      </c>
    </row>
    <row r="56" customFormat="false" ht="15" hidden="false" customHeight="true" outlineLevel="0" collapsed="false">
      <c r="A56" s="8"/>
      <c r="B56" s="9" t="n">
        <v>1010</v>
      </c>
      <c r="C56" s="8" t="s">
        <v>66</v>
      </c>
      <c r="D56" s="10" t="n">
        <v>2911</v>
      </c>
      <c r="E56" s="10" t="n">
        <v>2928</v>
      </c>
      <c r="F56" s="10" t="n">
        <f aca="false">D56+E56</f>
        <v>5839</v>
      </c>
      <c r="G56" s="11" t="n">
        <f aca="false">ROUND(F56/F60*100,2)</f>
        <v>5.97</v>
      </c>
    </row>
    <row r="57" customFormat="false" ht="15" hidden="false" customHeight="true" outlineLevel="0" collapsed="false">
      <c r="A57" s="4"/>
      <c r="B57" s="5" t="n">
        <v>1011</v>
      </c>
      <c r="C57" s="4" t="s">
        <v>67</v>
      </c>
      <c r="D57" s="6" t="n">
        <v>2612</v>
      </c>
      <c r="E57" s="6" t="n">
        <v>2716</v>
      </c>
      <c r="F57" s="6" t="n">
        <f aca="false">D57+E57</f>
        <v>5328</v>
      </c>
      <c r="G57" s="7" t="n">
        <f aca="false">ROUND(F57/F60*100,2)</f>
        <v>5.45</v>
      </c>
    </row>
    <row r="58" customFormat="false" ht="15" hidden="false" customHeight="true" outlineLevel="0" collapsed="false">
      <c r="A58" s="8"/>
      <c r="B58" s="9" t="n">
        <v>1012</v>
      </c>
      <c r="C58" s="8" t="s">
        <v>68</v>
      </c>
      <c r="D58" s="10" t="n">
        <v>3511</v>
      </c>
      <c r="E58" s="10" t="n">
        <v>3514</v>
      </c>
      <c r="F58" s="10" t="n">
        <f aca="false">D58+E58</f>
        <v>7025</v>
      </c>
      <c r="G58" s="11" t="n">
        <f aca="false">ROUND(F58/F60*100,2)</f>
        <v>7.18</v>
      </c>
    </row>
    <row r="59" customFormat="false" ht="15" hidden="false" customHeight="true" outlineLevel="0" collapsed="false">
      <c r="A59" s="12" t="s">
        <v>69</v>
      </c>
      <c r="B59" s="13"/>
      <c r="C59" s="13"/>
      <c r="D59" s="14" t="n">
        <f aca="false">SUM(D47:D58)</f>
        <v>47545</v>
      </c>
      <c r="E59" s="14" t="n">
        <f aca="false">SUM(E47:E58)</f>
        <v>50294</v>
      </c>
      <c r="F59" s="14" t="n">
        <f aca="false">D59+E59</f>
        <v>97839</v>
      </c>
      <c r="G59" s="15" t="n">
        <f aca="false">ROUND(F59/F60*100,2)</f>
        <v>100</v>
      </c>
    </row>
    <row r="60" customFormat="false" ht="15.75" hidden="false" customHeight="true" outlineLevel="0" collapsed="false">
      <c r="A60" s="16" t="s">
        <v>70</v>
      </c>
      <c r="B60" s="17"/>
      <c r="C60" s="17"/>
      <c r="D60" s="18" t="n">
        <f aca="false">D15+D25+D35+D46+D59</f>
        <v>47545</v>
      </c>
      <c r="E60" s="18" t="n">
        <f aca="false">E15+E25+E35+E46+E59</f>
        <v>50294</v>
      </c>
      <c r="F60" s="18" t="n">
        <f aca="false">D60+E60</f>
        <v>97839</v>
      </c>
      <c r="G60" s="16" t="s">
        <v>71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2026-03-30T05:45:34Z</dcterms:created>
  <dc:creator>openpyxl</dc:creator>
  <dc:description/>
  <dc:language>en-US</dc:language>
  <cp:lastModifiedBy/>
  <dcterms:modified xsi:type="dcterms:W3CDTF">2026-03-30T05:46:16Z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